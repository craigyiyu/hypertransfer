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 Summary" sheetId="1" state="visible" r:id="rId1"/>
    <sheet xmlns:r="http://schemas.openxmlformats.org/officeDocument/2006/relationships" name="Detailed Scope &amp; Pricing" sheetId="2" state="visible" r:id="rId2"/>
    <sheet xmlns:r="http://schemas.openxmlformats.org/officeDocument/2006/relationships" name="Payment Milestones" sheetId="3" state="visible" r:id="rId3"/>
    <sheet xmlns:r="http://schemas.openxmlformats.org/officeDocument/2006/relationships" name="Scop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2">
    <font>
      <name val="Calibri"/>
      <family val="2"/>
      <color theme="1"/>
      <sz val="11"/>
      <scheme val="minor"/>
    </font>
    <font>
      <name val="Arial"/>
      <b val="1"/>
      <color rgb="00C9A84C"/>
      <sz val="22"/>
    </font>
    <font>
      <name val="Arial"/>
      <color rgb="00E8E8E8"/>
      <sz val="13"/>
    </font>
    <font>
      <name val="Arial"/>
      <color rgb="00C9A84C"/>
      <sz val="10"/>
    </font>
    <font>
      <name val="Arial"/>
      <color rgb="00BBBBBB"/>
      <sz val="9"/>
    </font>
    <font>
      <name val="Arial"/>
      <b val="1"/>
      <color rgb="00C9A84C"/>
      <sz val="10"/>
    </font>
    <font>
      <name val="Arial"/>
      <b val="1"/>
      <color rgb="00FFFFFF"/>
      <sz val="9"/>
    </font>
    <font>
      <name val="Arial"/>
      <b val="1"/>
      <color rgb="000057B8"/>
      <sz val="9"/>
    </font>
    <font>
      <name val="Arial"/>
      <color rgb="004A4A4A"/>
      <sz val="9"/>
    </font>
    <font>
      <name val="Arial"/>
      <b val="1"/>
      <color rgb="004A4A4A"/>
      <sz val="9"/>
    </font>
    <font>
      <name val="Arial"/>
      <b val="1"/>
      <color rgb="001A7A4A"/>
      <sz val="9"/>
    </font>
    <font>
      <name val="Arial"/>
      <b val="1"/>
      <color rgb="00B85C00"/>
      <sz val="9"/>
    </font>
    <font>
      <name val="Arial"/>
      <b val="1"/>
      <color rgb="005C35C5"/>
      <sz val="9"/>
    </font>
    <font>
      <name val="Arial"/>
      <b val="1"/>
      <color rgb="00555555"/>
      <sz val="9"/>
    </font>
    <font>
      <name val="Arial"/>
      <b val="1"/>
      <color rgb="00C9A84C"/>
      <sz val="11"/>
    </font>
    <font>
      <name val="Arial"/>
      <b val="1"/>
      <color rgb="00FFFFFF"/>
      <sz val="11"/>
    </font>
    <font>
      <name val="Arial"/>
      <b val="1"/>
      <color rgb="00C9A84C"/>
      <sz val="13"/>
    </font>
    <font>
      <name val="Arial"/>
      <b val="1"/>
      <color rgb="00C9A84C"/>
      <sz val="9"/>
    </font>
    <font>
      <name val="Arial"/>
      <b val="1"/>
      <color rgb="00FFFFFF"/>
      <sz val="8"/>
    </font>
    <font>
      <name val="Arial"/>
      <color rgb="004A4A4A"/>
      <sz val="8"/>
    </font>
    <font>
      <name val="Arial"/>
      <i val="1"/>
      <color rgb="00888888"/>
      <sz val="8"/>
    </font>
    <font>
      <name val="Arial"/>
      <b val="1"/>
      <color rgb="00C9A84C"/>
      <sz val="16"/>
    </font>
    <font>
      <name val="Arial"/>
      <color rgb="00999999"/>
      <sz val="8"/>
    </font>
    <font>
      <name val="Arial"/>
      <b val="1"/>
      <color rgb="000057B8"/>
      <sz val="10"/>
    </font>
    <font>
      <name val="Arial"/>
      <b val="1"/>
      <color rgb="004A4A4A"/>
      <sz val="8"/>
    </font>
    <font>
      <name val="Arial"/>
      <b val="1"/>
      <color rgb="001A7A4A"/>
      <sz val="10"/>
    </font>
    <font>
      <name val="Arial"/>
      <b val="1"/>
      <color rgb="00B85C00"/>
      <sz val="10"/>
    </font>
    <font>
      <name val="Arial"/>
      <b val="1"/>
      <color rgb="005C35C5"/>
      <sz val="10"/>
    </font>
    <font>
      <name val="Arial"/>
      <b val="1"/>
      <color rgb="00555555"/>
      <sz val="10"/>
    </font>
    <font>
      <name val="Arial"/>
      <b val="1"/>
      <color rgb="00C9A84C"/>
      <sz val="14"/>
    </font>
    <font>
      <name val="Arial"/>
      <color rgb="00C9A84C"/>
      <sz val="9"/>
    </font>
    <font>
      <name val="Arial"/>
      <b val="1"/>
      <color rgb="00B00000"/>
      <sz val="10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E45"/>
      </patternFill>
    </fill>
    <fill>
      <patternFill patternType="solid">
        <fgColor rgb="00E8F0FE"/>
      </patternFill>
    </fill>
    <fill>
      <patternFill patternType="solid">
        <fgColor rgb="00E6F4EC"/>
      </patternFill>
    </fill>
    <fill>
      <patternFill patternType="solid">
        <fgColor rgb="00FFF0E0"/>
      </patternFill>
    </fill>
    <fill>
      <patternFill patternType="solid">
        <fgColor rgb="00EDE9FF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FDE8E8"/>
      </patternFill>
    </fill>
  </fills>
  <borders count="39">
    <border>
      <left/>
      <right/>
      <top/>
      <bottom/>
      <diagonal/>
    </border>
    <border>
      <bottom style="medium">
        <color rgb="00C9A84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0057B8"/>
      </left>
      <right style="medium">
        <color rgb="000057B8"/>
      </right>
      <top style="medium">
        <color rgb="000057B8"/>
      </top>
      <bottom style="thin">
        <color rgb="000057B8"/>
      </bottom>
    </border>
    <border>
      <left style="thin">
        <color rgb="00CCCCCC"/>
      </left>
      <right style="thin">
        <color rgb="00CCCCCC"/>
      </right>
      <top style="medium">
        <color rgb="000057B8"/>
      </top>
      <bottom style="thin">
        <color rgb="000057B8"/>
      </bottom>
    </border>
    <border>
      <left/>
      <right/>
      <top style="medium">
        <color rgb="000057B8"/>
      </top>
      <bottom/>
      <diagonal/>
    </border>
    <border>
      <left/>
      <right style="thin">
        <color rgb="00CCCCCC"/>
      </right>
      <top style="medium">
        <color rgb="000057B8"/>
      </top>
      <bottom/>
      <diagonal/>
    </border>
    <border>
      <left/>
      <right/>
      <top style="medium">
        <color rgb="000057B8"/>
      </top>
      <bottom style="thin">
        <color rgb="000057B8"/>
      </bottom>
      <diagonal/>
    </border>
    <border>
      <left/>
      <right style="thin">
        <color rgb="00CCCCCC"/>
      </right>
      <top style="medium">
        <color rgb="000057B8"/>
      </top>
      <bottom style="thin">
        <color rgb="000057B8"/>
      </bottom>
      <diagonal/>
    </border>
    <border>
      <left style="medium">
        <color rgb="001A7A4A"/>
      </left>
      <right style="medium">
        <color rgb="001A7A4A"/>
      </right>
      <top style="medium">
        <color rgb="001A7A4A"/>
      </top>
      <bottom style="thin">
        <color rgb="001A7A4A"/>
      </bottom>
    </border>
    <border>
      <left style="thin">
        <color rgb="00CCCCCC"/>
      </left>
      <right style="thin">
        <color rgb="00CCCCCC"/>
      </right>
      <top style="medium">
        <color rgb="001A7A4A"/>
      </top>
      <bottom style="thin">
        <color rgb="001A7A4A"/>
      </bottom>
    </border>
    <border>
      <left/>
      <right/>
      <top style="medium">
        <color rgb="001A7A4A"/>
      </top>
      <bottom/>
      <diagonal/>
    </border>
    <border>
      <left/>
      <right style="thin">
        <color rgb="00CCCCCC"/>
      </right>
      <top style="medium">
        <color rgb="001A7A4A"/>
      </top>
      <bottom/>
      <diagonal/>
    </border>
    <border>
      <left/>
      <right/>
      <top style="medium">
        <color rgb="001A7A4A"/>
      </top>
      <bottom style="thin">
        <color rgb="001A7A4A"/>
      </bottom>
      <diagonal/>
    </border>
    <border>
      <left/>
      <right style="thin">
        <color rgb="00CCCCCC"/>
      </right>
      <top style="medium">
        <color rgb="001A7A4A"/>
      </top>
      <bottom style="thin">
        <color rgb="001A7A4A"/>
      </bottom>
      <diagonal/>
    </border>
    <border>
      <left style="medium">
        <color rgb="00B85C00"/>
      </left>
      <right style="medium">
        <color rgb="00B85C00"/>
      </right>
      <top style="medium">
        <color rgb="00B85C00"/>
      </top>
      <bottom style="thin">
        <color rgb="00B85C00"/>
      </bottom>
    </border>
    <border>
      <left style="thin">
        <color rgb="00CCCCCC"/>
      </left>
      <right style="thin">
        <color rgb="00CCCCCC"/>
      </right>
      <top style="medium">
        <color rgb="00B85C00"/>
      </top>
      <bottom style="thin">
        <color rgb="00B85C00"/>
      </bottom>
    </border>
    <border>
      <left/>
      <right/>
      <top style="medium">
        <color rgb="00B85C00"/>
      </top>
      <bottom/>
      <diagonal/>
    </border>
    <border>
      <left/>
      <right style="thin">
        <color rgb="00CCCCCC"/>
      </right>
      <top style="medium">
        <color rgb="00B85C00"/>
      </top>
      <bottom/>
      <diagonal/>
    </border>
    <border>
      <left/>
      <right/>
      <top style="medium">
        <color rgb="00B85C00"/>
      </top>
      <bottom style="thin">
        <color rgb="00B85C00"/>
      </bottom>
      <diagonal/>
    </border>
    <border>
      <left/>
      <right style="thin">
        <color rgb="00CCCCCC"/>
      </right>
      <top style="medium">
        <color rgb="00B85C00"/>
      </top>
      <bottom style="thin">
        <color rgb="00B85C00"/>
      </bottom>
      <diagonal/>
    </border>
    <border>
      <left style="medium">
        <color rgb="005C35C5"/>
      </left>
      <right style="medium">
        <color rgb="005C35C5"/>
      </right>
      <top style="medium">
        <color rgb="005C35C5"/>
      </top>
      <bottom style="thin">
        <color rgb="005C35C5"/>
      </bottom>
    </border>
    <border>
      <left style="thin">
        <color rgb="00CCCCCC"/>
      </left>
      <right style="thin">
        <color rgb="00CCCCCC"/>
      </right>
      <top style="medium">
        <color rgb="005C35C5"/>
      </top>
      <bottom style="thin">
        <color rgb="005C35C5"/>
      </bottom>
    </border>
    <border>
      <left/>
      <right/>
      <top style="medium">
        <color rgb="005C35C5"/>
      </top>
      <bottom/>
      <diagonal/>
    </border>
    <border>
      <left/>
      <right style="thin">
        <color rgb="00CCCCCC"/>
      </right>
      <top style="medium">
        <color rgb="005C35C5"/>
      </top>
      <bottom/>
      <diagonal/>
    </border>
    <border>
      <left/>
      <right/>
      <top style="medium">
        <color rgb="005C35C5"/>
      </top>
      <bottom style="thin">
        <color rgb="005C35C5"/>
      </bottom>
      <diagonal/>
    </border>
    <border>
      <left/>
      <right style="thin">
        <color rgb="00CCCCCC"/>
      </right>
      <top style="medium">
        <color rgb="005C35C5"/>
      </top>
      <bottom style="thin">
        <color rgb="005C35C5"/>
      </bottom>
      <diagonal/>
    </border>
    <border>
      <left style="medium">
        <color rgb="00555555"/>
      </left>
      <right style="medium">
        <color rgb="00555555"/>
      </right>
      <top style="medium">
        <color rgb="00555555"/>
      </top>
      <bottom style="thin">
        <color rgb="00555555"/>
      </bottom>
    </border>
    <border>
      <left style="thin">
        <color rgb="00CCCCCC"/>
      </left>
      <right style="thin">
        <color rgb="00CCCCCC"/>
      </right>
      <top style="medium">
        <color rgb="00555555"/>
      </top>
      <bottom style="thin">
        <color rgb="00555555"/>
      </bottom>
    </border>
    <border>
      <left/>
      <right/>
      <top style="medium">
        <color rgb="00555555"/>
      </top>
      <bottom/>
      <diagonal/>
    </border>
    <border>
      <left/>
      <right style="thin">
        <color rgb="00CCCCCC"/>
      </right>
      <top style="medium">
        <color rgb="00555555"/>
      </top>
      <bottom/>
      <diagonal/>
    </border>
    <border>
      <left/>
      <right/>
      <top style="medium">
        <color rgb="00555555"/>
      </top>
      <bottom style="thin">
        <color rgb="00555555"/>
      </bottom>
      <diagonal/>
    </border>
    <border>
      <left/>
      <right style="thin">
        <color rgb="00CCCCCC"/>
      </right>
      <top style="medium">
        <color rgb="00555555"/>
      </top>
      <bottom style="thin">
        <color rgb="00555555"/>
      </bottom>
      <diagonal/>
    </border>
    <border>
      <bottom style="medium">
        <color rgb="001A7A4A"/>
      </bottom>
    </border>
    <border>
      <bottom style="medium">
        <color rgb="00B00000"/>
      </bottom>
    </border>
    <border>
      <bottom style="medium">
        <color rgb="000057B8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left" vertical="center"/>
    </xf>
    <xf numFmtId="3" fontId="8" fillId="4" borderId="2" applyAlignment="1" pivotButton="0" quotePrefix="0" xfId="0">
      <alignment horizontal="right" vertical="center"/>
    </xf>
    <xf numFmtId="5" fontId="9" fillId="4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3" fontId="8" fillId="5" borderId="2" applyAlignment="1" pivotButton="0" quotePrefix="0" xfId="0">
      <alignment horizontal="right" vertical="center"/>
    </xf>
    <xf numFmtId="5" fontId="9" fillId="5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3" fontId="8" fillId="6" borderId="2" applyAlignment="1" pivotButton="0" quotePrefix="0" xfId="0">
      <alignment horizontal="right" vertical="center"/>
    </xf>
    <xf numFmtId="5" fontId="9" fillId="6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3" fontId="8" fillId="7" borderId="2" applyAlignment="1" pivotButton="0" quotePrefix="0" xfId="0">
      <alignment horizontal="right" vertical="center"/>
    </xf>
    <xf numFmtId="5" fontId="9" fillId="7" borderId="2" applyAlignment="1" pivotButton="0" quotePrefix="0" xfId="0">
      <alignment horizontal="right" vertical="center"/>
    </xf>
    <xf numFmtId="0" fontId="13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3" fontId="8" fillId="8" borderId="2" applyAlignment="1" pivotButton="0" quotePrefix="0" xfId="0">
      <alignment horizontal="right" vertical="center"/>
    </xf>
    <xf numFmtId="5" fontId="9" fillId="8" borderId="2" applyAlignment="1" pivotButton="0" quotePrefix="0" xfId="0">
      <alignment horizontal="right" vertical="center"/>
    </xf>
    <xf numFmtId="0" fontId="14" fillId="2" borderId="2" applyAlignment="1" pivotButton="0" quotePrefix="0" xfId="0">
      <alignment horizontal="left" vertical="center"/>
    </xf>
    <xf numFmtId="0" fontId="0" fillId="0" borderId="5" pivotButton="0" quotePrefix="0" xfId="0"/>
    <xf numFmtId="3" fontId="15" fillId="2" borderId="2" applyAlignment="1" pivotButton="0" quotePrefix="0" xfId="0">
      <alignment horizontal="right" vertical="center"/>
    </xf>
    <xf numFmtId="5" fontId="16" fillId="2" borderId="2" applyAlignment="1" pivotButton="0" quotePrefix="0" xfId="0">
      <alignment horizontal="right" vertical="center"/>
    </xf>
    <xf numFmtId="0" fontId="17" fillId="2" borderId="1" applyAlignment="1" pivotButton="0" quotePrefix="0" xfId="0">
      <alignment horizontal="left" vertical="center"/>
    </xf>
    <xf numFmtId="0" fontId="18" fillId="3" borderId="2" applyAlignment="1" pivotButton="0" quotePrefix="0" xfId="0">
      <alignment horizontal="left" vertical="center"/>
    </xf>
    <xf numFmtId="0" fontId="18" fillId="3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left" vertical="center"/>
    </xf>
    <xf numFmtId="0" fontId="0" fillId="9" borderId="2" pivotButton="0" quotePrefix="0" xfId="0"/>
    <xf numFmtId="164" fontId="19" fillId="9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/>
    </xf>
    <xf numFmtId="0" fontId="0" fillId="8" borderId="2" pivotButton="0" quotePrefix="0" xfId="0"/>
    <xf numFmtId="164" fontId="19" fillId="8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23" fillId="4" borderId="6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4" fillId="8" borderId="2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 wrapText="1"/>
    </xf>
    <xf numFmtId="3" fontId="19" fillId="8" borderId="2" applyAlignment="1" pivotButton="0" quotePrefix="0" xfId="0">
      <alignment horizontal="right" vertical="center"/>
    </xf>
    <xf numFmtId="5" fontId="19" fillId="8" borderId="2" applyAlignment="1" pivotButton="0" quotePrefix="0" xfId="0">
      <alignment horizontal="right" vertical="center"/>
    </xf>
    <xf numFmtId="0" fontId="19" fillId="9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left" vertical="center" wrapText="1"/>
    </xf>
    <xf numFmtId="0" fontId="19" fillId="9" borderId="2" applyAlignment="1" pivotButton="0" quotePrefix="0" xfId="0">
      <alignment horizontal="left" vertical="center" wrapText="1"/>
    </xf>
    <xf numFmtId="3" fontId="19" fillId="9" borderId="2" applyAlignment="1" pivotButton="0" quotePrefix="0" xfId="0">
      <alignment horizontal="right" vertical="center"/>
    </xf>
    <xf numFmtId="5" fontId="19" fillId="9" borderId="2" applyAlignment="1" pivotButton="0" quotePrefix="0" xfId="0">
      <alignment horizontal="right" vertical="center"/>
    </xf>
    <xf numFmtId="0" fontId="7" fillId="4" borderId="7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4" borderId="7" pivotButton="0" quotePrefix="0" xfId="0"/>
    <xf numFmtId="5" fontId="7" fillId="4" borderId="7" applyAlignment="1" pivotButton="0" quotePrefix="0" xfId="0">
      <alignment horizontal="right" vertical="center"/>
    </xf>
    <xf numFmtId="0" fontId="25" fillId="5" borderId="12" applyAlignment="1" pivotButton="0" quotePrefix="0" xfId="0">
      <alignment horizontal="left" vertical="center"/>
    </xf>
    <xf numFmtId="0" fontId="10" fillId="5" borderId="13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7" pivotButton="0" quotePrefix="0" xfId="0"/>
    <xf numFmtId="0" fontId="0" fillId="5" borderId="13" pivotButton="0" quotePrefix="0" xfId="0"/>
    <xf numFmtId="5" fontId="10" fillId="5" borderId="13" applyAlignment="1" pivotButton="0" quotePrefix="0" xfId="0">
      <alignment horizontal="right" vertical="center"/>
    </xf>
    <xf numFmtId="0" fontId="26" fillId="6" borderId="18" applyAlignment="1" pivotButton="0" quotePrefix="0" xfId="0">
      <alignment horizontal="left" vertical="center"/>
    </xf>
    <xf numFmtId="0" fontId="11" fillId="6" borderId="19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3" pivotButton="0" quotePrefix="0" xfId="0"/>
    <xf numFmtId="0" fontId="0" fillId="6" borderId="19" pivotButton="0" quotePrefix="0" xfId="0"/>
    <xf numFmtId="5" fontId="11" fillId="6" borderId="19" applyAlignment="1" pivotButton="0" quotePrefix="0" xfId="0">
      <alignment horizontal="right" vertical="center"/>
    </xf>
    <xf numFmtId="0" fontId="27" fillId="7" borderId="24" applyAlignment="1" pivotButton="0" quotePrefix="0" xfId="0">
      <alignment horizontal="left" vertical="center"/>
    </xf>
    <xf numFmtId="0" fontId="12" fillId="7" borderId="25" applyAlignment="1" pivotButton="0" quotePrefix="0" xfId="0">
      <alignment horizontal="right" vertical="center"/>
    </xf>
    <xf numFmtId="0" fontId="0" fillId="0" borderId="28" pivotButton="0" quotePrefix="0" xfId="0"/>
    <xf numFmtId="0" fontId="0" fillId="0" borderId="29" pivotButton="0" quotePrefix="0" xfId="0"/>
    <xf numFmtId="0" fontId="0" fillId="7" borderId="25" pivotButton="0" quotePrefix="0" xfId="0"/>
    <xf numFmtId="5" fontId="12" fillId="7" borderId="25" applyAlignment="1" pivotButton="0" quotePrefix="0" xfId="0">
      <alignment horizontal="right" vertical="center"/>
    </xf>
    <xf numFmtId="0" fontId="28" fillId="8" borderId="30" applyAlignment="1" pivotButton="0" quotePrefix="0" xfId="0">
      <alignment horizontal="left" vertical="center"/>
    </xf>
    <xf numFmtId="0" fontId="13" fillId="8" borderId="31" applyAlignment="1" pivotButton="0" quotePrefix="0" xfId="0">
      <alignment horizontal="right" vertical="center"/>
    </xf>
    <xf numFmtId="0" fontId="0" fillId="0" borderId="34" pivotButton="0" quotePrefix="0" xfId="0"/>
    <xf numFmtId="0" fontId="0" fillId="0" borderId="35" pivotButton="0" quotePrefix="0" xfId="0"/>
    <xf numFmtId="0" fontId="0" fillId="8" borderId="31" pivotButton="0" quotePrefix="0" xfId="0"/>
    <xf numFmtId="5" fontId="13" fillId="8" borderId="31" applyAlignment="1" pivotButton="0" quotePrefix="0" xfId="0">
      <alignment horizontal="right" vertical="center"/>
    </xf>
    <xf numFmtId="0" fontId="16" fillId="2" borderId="2" applyAlignment="1" pivotButton="0" quotePrefix="0" xfId="0">
      <alignment horizontal="right" vertical="center"/>
    </xf>
    <xf numFmtId="0" fontId="0" fillId="2" borderId="2" pivotButton="0" quotePrefix="0" xfId="0"/>
    <xf numFmtId="5" fontId="29" fillId="2" borderId="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5" fontId="8" fillId="4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/>
    </xf>
    <xf numFmtId="5" fontId="8" fillId="5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5" fontId="8" fillId="6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5" fontId="8" fillId="7" borderId="2" applyAlignment="1" pivotButton="0" quotePrefix="0" xfId="0">
      <alignment horizontal="right" vertical="center"/>
    </xf>
    <xf numFmtId="0" fontId="17" fillId="3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25" fillId="5" borderId="36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 wrapText="1"/>
    </xf>
    <xf numFmtId="0" fontId="31" fillId="10" borderId="37" applyAlignment="1" pivotButton="0" quotePrefix="0" xfId="0">
      <alignment horizontal="left" vertical="center"/>
    </xf>
    <xf numFmtId="0" fontId="8" fillId="10" borderId="2" applyAlignment="1" pivotButton="0" quotePrefix="0" xfId="0">
      <alignment horizontal="left" vertical="center" wrapText="1"/>
    </xf>
    <xf numFmtId="0" fontId="23" fillId="4" borderId="38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5" customWidth="1" min="3" max="3"/>
    <col width="16" customWidth="1" min="4" max="4"/>
    <col width="16" customWidth="1" min="5" max="5"/>
    <col width="3" customWidth="1" min="6" max="6"/>
  </cols>
  <sheetData>
    <row r="1" ht="6" customHeight="1"/>
    <row r="2" ht="14" customHeight="1">
      <c r="B2" s="1" t="n"/>
    </row>
    <row r="3" ht="14" customHeight="1">
      <c r="B3" s="2" t="inlineStr">
        <is>
          <t>QUOTATION</t>
        </is>
      </c>
    </row>
    <row r="4" ht="22" customHeight="1">
      <c r="B4" s="3" t="inlineStr">
        <is>
          <t>Virtual Asset Management Platform</t>
        </is>
      </c>
    </row>
    <row r="5" ht="14" customHeight="1">
      <c r="B5" s="4" t="inlineStr">
        <is>
          <t>Client: Wynn Macau   ·   User-Side Development &amp; Integration</t>
        </is>
      </c>
    </row>
    <row r="6" ht="14" customHeight="1">
      <c r="B6" s="1" t="n"/>
    </row>
    <row r="7" ht="14" customHeight="1">
      <c r="B7" s="5" t="inlineStr">
        <is>
          <t>Quote No: VA-2026-001   ·   Date: 19 May 2026   ·   Valid Until: 18 Jun 2026   ·   Currency: USD</t>
        </is>
      </c>
    </row>
    <row r="8" ht="14" customHeight="1">
      <c r="B8" s="1" t="n"/>
    </row>
    <row r="9" ht="8" customHeight="1"/>
    <row r="10" ht="20" customHeight="1">
      <c r="B10" s="6" t="inlineStr">
        <is>
          <t>PHASE SUMMARY</t>
        </is>
      </c>
    </row>
    <row r="11" ht="18" customHeight="1">
      <c r="B11" s="7" t="inlineStr">
        <is>
          <t>Phase</t>
        </is>
      </c>
      <c r="C11" s="7" t="inlineStr">
        <is>
          <t>Description</t>
        </is>
      </c>
      <c r="D11" s="8" t="inlineStr">
        <is>
          <t>Effort (hrs)</t>
        </is>
      </c>
      <c r="E11" s="8" t="inlineStr">
        <is>
          <t>Amount (USD)</t>
        </is>
      </c>
    </row>
    <row r="12" ht="18" customHeight="1">
      <c r="B12" s="9" t="inlineStr">
        <is>
          <t>P1</t>
        </is>
      </c>
      <c r="C12" s="10" t="inlineStr">
        <is>
          <t>Phase 1 · Core Deposit Flow &amp; Hex Safe Integration</t>
        </is>
      </c>
      <c r="D12" s="11" t="n">
        <v>295</v>
      </c>
      <c r="E12" s="12" t="n">
        <v>48200</v>
      </c>
    </row>
    <row r="13" ht="18" customHeight="1">
      <c r="B13" s="13" t="inlineStr">
        <is>
          <t>P2</t>
        </is>
      </c>
      <c r="C13" s="14" t="inlineStr">
        <is>
          <t>Phase 2 · Compliance, KYC &amp; Operations Dashboard</t>
        </is>
      </c>
      <c r="D13" s="15" t="n">
        <v>175</v>
      </c>
      <c r="E13" s="16" t="n">
        <v>28000</v>
      </c>
    </row>
    <row r="14" ht="18" customHeight="1">
      <c r="B14" s="17" t="inlineStr">
        <is>
          <t>P3</t>
        </is>
      </c>
      <c r="C14" s="18" t="inlineStr">
        <is>
          <t>Phase 3 · Refund / Payout &amp; Treasury Module</t>
        </is>
      </c>
      <c r="D14" s="19" t="n">
        <v>125</v>
      </c>
      <c r="E14" s="20" t="n">
        <v>20000</v>
      </c>
    </row>
    <row r="15" ht="18" customHeight="1">
      <c r="B15" s="21" t="inlineStr">
        <is>
          <t>P4</t>
        </is>
      </c>
      <c r="C15" s="22" t="inlineStr">
        <is>
          <t>Phase 4 · Auth, Security &amp; Okta Integration</t>
        </is>
      </c>
      <c r="D15" s="23" t="n">
        <v>85</v>
      </c>
      <c r="E15" s="24" t="n">
        <v>16200</v>
      </c>
    </row>
    <row r="16" ht="18" customHeight="1">
      <c r="B16" s="25" t="inlineStr">
        <is>
          <t>P5</t>
        </is>
      </c>
      <c r="C16" s="26" t="inlineStr">
        <is>
          <t>Phase 5 · Testing, QA, DevOps &amp; Documentation</t>
        </is>
      </c>
      <c r="D16" s="27" t="n">
        <v>160</v>
      </c>
      <c r="E16" s="28" t="n">
        <v>18200</v>
      </c>
    </row>
    <row r="17" ht="22" customHeight="1">
      <c r="B17" s="29" t="inlineStr">
        <is>
          <t>TOTAL ENGAGEMENT</t>
        </is>
      </c>
      <c r="C17" s="30" t="n"/>
      <c r="D17" s="31" t="n">
        <v>840</v>
      </c>
      <c r="E17" s="32" t="n">
        <v>130600</v>
      </c>
    </row>
    <row r="19" ht="18" customHeight="1">
      <c r="B19" s="33" t="inlineStr">
        <is>
          <t>STANDARD RATE CARD</t>
        </is>
      </c>
    </row>
    <row r="20" ht="16" customHeight="1">
      <c r="B20" s="34" t="inlineStr">
        <is>
          <t>Role</t>
        </is>
      </c>
      <c r="D20" s="35" t="inlineStr">
        <is>
          <t>Rate (USD/hr)</t>
        </is>
      </c>
      <c r="E20" s="34" t="inlineStr">
        <is>
          <t>Scope</t>
        </is>
      </c>
    </row>
    <row r="21" ht="15" customHeight="1">
      <c r="B21" s="36" t="inlineStr">
        <is>
          <t>Tech Lead / Architect</t>
        </is>
      </c>
      <c r="C21" s="37" t="n"/>
      <c r="D21" s="38" t="n">
        <v>200</v>
      </c>
      <c r="E21" s="36" t="inlineStr">
        <is>
          <t>Architecture, API design, security review</t>
        </is>
      </c>
    </row>
    <row r="22" ht="15" customHeight="1">
      <c r="B22" s="39" t="inlineStr">
        <is>
          <t>Senior Developer</t>
        </is>
      </c>
      <c r="C22" s="40" t="n"/>
      <c r="D22" s="41" t="n">
        <v>160</v>
      </c>
      <c r="E22" s="39" t="inlineStr">
        <is>
          <t>Full-stack feature implementation</t>
        </is>
      </c>
    </row>
    <row r="23" ht="15" customHeight="1">
      <c r="B23" s="36" t="inlineStr">
        <is>
          <t>QA Engineer</t>
        </is>
      </c>
      <c r="C23" s="37" t="n"/>
      <c r="D23" s="38" t="n">
        <v>90</v>
      </c>
      <c r="E23" s="36" t="inlineStr">
        <is>
          <t>Testing, UAT support</t>
        </is>
      </c>
    </row>
    <row r="24" ht="15" customHeight="1">
      <c r="B24" s="39" t="inlineStr">
        <is>
          <t>DevOps Engineer</t>
        </is>
      </c>
      <c r="C24" s="40" t="n"/>
      <c r="D24" s="41" t="n">
        <v>150</v>
      </c>
      <c r="E24" s="39" t="inlineStr">
        <is>
          <t>CI/CD, infrastructure, deployment</t>
        </is>
      </c>
    </row>
    <row r="25" ht="15" customHeight="1">
      <c r="B25" s="36" t="inlineStr">
        <is>
          <t>Project Manager</t>
        </is>
      </c>
      <c r="C25" s="37" t="n"/>
      <c r="D25" s="38" t="n">
        <v>130</v>
      </c>
      <c r="E25" s="36" t="inlineStr">
        <is>
          <t>Sprint coordination, reporting, stakeholder mgmt</t>
        </is>
      </c>
    </row>
    <row r="27" ht="22" customHeight="1">
      <c r="B27" s="42" t="inlineStr">
        <is>
          <t>All pricing is fixed-fee per phase. Hours shown are for scope transparency. Change requests outside agreed deliverables will be quoted at standard rates above.</t>
        </is>
      </c>
    </row>
  </sheetData>
  <mergeCells count="12">
    <mergeCell ref="B27:E27"/>
    <mergeCell ref="B8:E8"/>
    <mergeCell ref="B4:E4"/>
    <mergeCell ref="B6:E6"/>
    <mergeCell ref="B7:E7"/>
    <mergeCell ref="B20"/>
    <mergeCell ref="B3:E3"/>
    <mergeCell ref="B5:E5"/>
    <mergeCell ref="B2:E2"/>
    <mergeCell ref="B19:E19"/>
    <mergeCell ref="B10:E10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26" customWidth="1" min="4" max="4"/>
    <col width="8" customWidth="1" min="5" max="5"/>
    <col width="9" customWidth="1" min="6" max="6"/>
    <col width="10" customWidth="1" min="7" max="7"/>
    <col width="12" customWidth="1" min="8" max="8"/>
    <col width="3" customWidth="1" min="9" max="9"/>
  </cols>
  <sheetData>
    <row r="1" ht="6" customHeight="1"/>
    <row r="2" ht="14" customHeight="1">
      <c r="B2" s="1" t="n"/>
    </row>
    <row r="3" ht="20" customHeight="1">
      <c r="B3" s="43" t="inlineStr">
        <is>
          <t>DETAILED SCOPE &amp; PRICING</t>
        </is>
      </c>
    </row>
    <row r="4" ht="14" customHeight="1">
      <c r="B4" s="5" t="inlineStr">
        <is>
          <t>Virtual Asset Management Platform  ·  Wynn Macau</t>
        </is>
      </c>
    </row>
    <row r="5" ht="14" customHeight="1">
      <c r="B5" s="1" t="n"/>
    </row>
    <row r="6" ht="14" customHeight="1">
      <c r="B6" s="44" t="inlineStr">
        <is>
          <t>Quote: VA-2026-001  ·  Date: 19 May 2026  ·  Currency: USD</t>
        </is>
      </c>
    </row>
    <row r="7" ht="8" customHeight="1"/>
    <row r="8" ht="20" customHeight="1">
      <c r="B8" s="7" t="inlineStr">
        <is>
          <t>#</t>
        </is>
      </c>
      <c r="C8" s="7" t="inlineStr">
        <is>
          <t>Deliverable</t>
        </is>
      </c>
      <c r="D8" s="7" t="inlineStr">
        <is>
          <t>Description</t>
        </is>
      </c>
      <c r="E8" s="7" t="inlineStr">
        <is>
          <t>Role</t>
        </is>
      </c>
      <c r="F8" s="8" t="inlineStr">
        <is>
          <t>Hrs</t>
        </is>
      </c>
      <c r="G8" s="8" t="inlineStr">
        <is>
          <t>Rate/hr</t>
        </is>
      </c>
      <c r="H8" s="8" t="inlineStr">
        <is>
          <t>Amount</t>
        </is>
      </c>
    </row>
    <row r="9" ht="20" customHeight="1">
      <c r="B9" s="45" t="inlineStr">
        <is>
          <t>Phase 1 · Core Deposit Flow &amp; Hex Safe Integration</t>
        </is>
      </c>
    </row>
    <row r="10" ht="40" customHeight="1">
      <c r="B10" s="46" t="inlineStr">
        <is>
          <t>1</t>
        </is>
      </c>
      <c r="C10" s="47" t="inlineStr">
        <is>
          <t>Project Architecture &amp; Infrastructure Setup</t>
        </is>
      </c>
      <c r="D10" s="48" t="inlineStr">
        <is>
          <t>Tech stack finalization, repo setup, CI/CD pipeline, environment config (dev/staging/prod), PostgreSQL schema design, API skeleton</t>
        </is>
      </c>
      <c r="E10" s="39" t="inlineStr">
        <is>
          <t>Tech Lead</t>
        </is>
      </c>
      <c r="F10" s="49" t="n">
        <v>25</v>
      </c>
      <c r="G10" s="50" t="n">
        <v>200</v>
      </c>
      <c r="H10" s="50">
        <f>E10*F10</f>
        <v/>
      </c>
    </row>
    <row r="11" ht="40" customHeight="1">
      <c r="B11" s="51" t="inlineStr">
        <is>
          <t>2</t>
        </is>
      </c>
      <c r="C11" s="52" t="inlineStr">
        <is>
          <t>Employee Pad App — Main Deposit Flow</t>
        </is>
      </c>
      <c r="D11" s="53" t="inlineStr">
        <is>
          <t>9-step wizard: Login → Patron Lookup → Wallet Setup → KYT → Travel Rule → Address Issue → Monitoring → Compliance Clear → WTA. Role-based views for Host, Compliance, Treasury, Admin</t>
        </is>
      </c>
      <c r="E11" s="36" t="inlineStr">
        <is>
          <t>Senior Dev</t>
        </is>
      </c>
      <c r="F11" s="54" t="n">
        <v>65</v>
      </c>
      <c r="G11" s="55" t="n">
        <v>160</v>
      </c>
      <c r="H11" s="55">
        <f>E11*F11</f>
        <v/>
      </c>
    </row>
    <row r="12" ht="40" customHeight="1">
      <c r="B12" s="46" t="inlineStr">
        <is>
          <t>3</t>
        </is>
      </c>
      <c r="C12" s="47" t="inlineStr">
        <is>
          <t>Hex Safe API Integration — Deposit Address Generation</t>
        </is>
      </c>
      <c r="D12" s="48" t="inlineStr">
        <is>
          <t>POST /vaults/{vaultId}/address (single-use per deposit, BTC rotating address support); address metadata storage; expiry management; error handling &amp; retry</t>
        </is>
      </c>
      <c r="E12" s="39" t="inlineStr">
        <is>
          <t>Senior Dev</t>
        </is>
      </c>
      <c r="F12" s="49" t="n">
        <v>35</v>
      </c>
      <c r="G12" s="50" t="n">
        <v>160</v>
      </c>
      <c r="H12" s="50">
        <f>E12*F12</f>
        <v/>
      </c>
    </row>
    <row r="13" ht="40" customHeight="1">
      <c r="B13" s="51" t="inlineStr">
        <is>
          <t>4</t>
        </is>
      </c>
      <c r="C13" s="52" t="inlineStr">
        <is>
          <t>Hex Safe API Integration — Transaction Monitoring &amp; Webhook</t>
        </is>
      </c>
      <c r="D13" s="53" t="inlineStr">
        <is>
          <t>GET /deposit/{txHash}; GET /transactions/{traceId} polling; webhook endpoint with Hex Safe signature verification; deposit-request matching by addressId + txHash</t>
        </is>
      </c>
      <c r="E13" s="36" t="inlineStr">
        <is>
          <t>Senior Dev</t>
        </is>
      </c>
      <c r="F13" s="54" t="n">
        <v>35</v>
      </c>
      <c r="G13" s="55" t="n">
        <v>160</v>
      </c>
      <c r="H13" s="55">
        <f>E13*F13</f>
        <v/>
      </c>
    </row>
    <row r="14" ht="40" customHeight="1">
      <c r="B14" s="46" t="inlineStr">
        <is>
          <t>5</t>
        </is>
      </c>
      <c r="C14" s="47" t="inlineStr">
        <is>
          <t>Hex Safe API Integration — WTA Vault Sweep</t>
        </is>
      </c>
      <c r="D14" s="48" t="inlineStr">
        <is>
          <t>POST /transactions/{chain} for deposit-collection-to-WTA sweep; confirmation polling; sweep status reconciliation; GET /vaults/{id} balance refresh</t>
        </is>
      </c>
      <c r="E14" s="39" t="inlineStr">
        <is>
          <t>Senior Dev</t>
        </is>
      </c>
      <c r="F14" s="49" t="n">
        <v>20</v>
      </c>
      <c r="G14" s="50" t="n">
        <v>160</v>
      </c>
      <c r="H14" s="50">
        <f>E14*F14</f>
        <v/>
      </c>
    </row>
    <row r="15" ht="40" customHeight="1">
      <c r="B15" s="51" t="inlineStr">
        <is>
          <t>6</t>
        </is>
      </c>
      <c r="C15" s="52" t="inlineStr">
        <is>
          <t>KYT Integration — Pre-Deposit Wallet Screening</t>
        </is>
      </c>
      <c r="D15" s="53" t="inlineStr">
        <is>
          <t>Adapter interface for Chainalysis / TRM / Elliptic: risk score, sanctions hit, tainted exposure %, hop count, Pass/EDD/Fail gate. Result persistence; compliance gate before address issuance</t>
        </is>
      </c>
      <c r="E15" s="36" t="inlineStr">
        <is>
          <t>Senior Dev</t>
        </is>
      </c>
      <c r="F15" s="54" t="n">
        <v>35</v>
      </c>
      <c r="G15" s="55" t="n">
        <v>160</v>
      </c>
      <c r="H15" s="55">
        <f>E15*F15</f>
        <v/>
      </c>
    </row>
    <row r="16" ht="40" customHeight="1">
      <c r="B16" s="46" t="inlineStr">
        <is>
          <t>7</t>
        </is>
      </c>
      <c r="C16" s="47" t="inlineStr">
        <is>
          <t>KYT Integration — Post-Arrival Transaction Screening</t>
        </is>
      </c>
      <c r="D16" s="48" t="inlineStr">
        <is>
          <t>Second KYT call on real incoming txHash after funds detected; Funds Clear / Dirty determination; Dirty path: address voided, compliance case auto-created, deposit blocked</t>
        </is>
      </c>
      <c r="E16" s="39" t="inlineStr">
        <is>
          <t>Senior Dev</t>
        </is>
      </c>
      <c r="F16" s="49" t="n">
        <v>30</v>
      </c>
      <c r="G16" s="50" t="n">
        <v>160</v>
      </c>
      <c r="H16" s="50">
        <f>E16*F16</f>
        <v/>
      </c>
    </row>
    <row r="17" ht="40" customHeight="1">
      <c r="B17" s="51" t="inlineStr">
        <is>
          <t>8</t>
        </is>
      </c>
      <c r="C17" s="52" t="inlineStr">
        <is>
          <t>Backend API — Deposit State Machine &amp; Data Model</t>
        </is>
      </c>
      <c r="D17" s="53" t="inlineStr">
        <is>
          <t>RESTful API for full deposit lifecycle (11 status states); Prisma ORM + PostgreSQL migrations; state transition guards; validation; audit log write-through on every action</t>
        </is>
      </c>
      <c r="E17" s="36" t="inlineStr">
        <is>
          <t>Senior Dev</t>
        </is>
      </c>
      <c r="F17" s="54" t="n">
        <v>50</v>
      </c>
      <c r="G17" s="55" t="n">
        <v>160</v>
      </c>
      <c r="H17" s="55">
        <f>E17*F17</f>
        <v/>
      </c>
    </row>
    <row r="18" ht="18" customHeight="1">
      <c r="B18" s="56" t="inlineStr">
        <is>
          <t>Phase Subtotal — P1</t>
        </is>
      </c>
      <c r="C18" s="57" t="n"/>
      <c r="D18" s="57" t="n"/>
      <c r="E18" s="57" t="n"/>
      <c r="F18" s="58" t="n"/>
      <c r="G18" s="59" t="n"/>
      <c r="H18" s="60">
        <f>SUM(H10:H17)</f>
        <v/>
      </c>
    </row>
    <row r="19" ht="6" customHeight="1"/>
    <row r="20" ht="20" customHeight="1">
      <c r="B20" s="61" t="inlineStr">
        <is>
          <t>Phase 2 · Compliance, KYC &amp; Operations Dashboard</t>
        </is>
      </c>
    </row>
    <row r="21" ht="40" customHeight="1">
      <c r="B21" s="46" t="inlineStr">
        <is>
          <t>9</t>
        </is>
      </c>
      <c r="C21" s="47" t="inlineStr">
        <is>
          <t>KYC Module &amp; Patron Management</t>
        </is>
      </c>
      <c r="D21" s="48" t="inlineStr">
        <is>
          <t>Patron search (name / ID / jurisdiction); KYC status gate (verified / EDD / blocked / expired / missing); new patron onboarding form; Wynn CRM / gaming profile link; KYC routing rules</t>
        </is>
      </c>
      <c r="E21" s="39" t="inlineStr">
        <is>
          <t>Senior Dev</t>
        </is>
      </c>
      <c r="F21" s="49" t="n">
        <v>35</v>
      </c>
      <c r="G21" s="50" t="n">
        <v>160</v>
      </c>
      <c r="H21" s="50">
        <f>E21*F21</f>
        <v/>
      </c>
    </row>
    <row r="22" ht="40" customHeight="1">
      <c r="B22" s="51" t="inlineStr">
        <is>
          <t>10</t>
        </is>
      </c>
      <c r="C22" s="52" t="inlineStr">
        <is>
          <t>FATF Travel Rule Integration</t>
        </is>
      </c>
      <c r="D22" s="53" t="inlineStr">
        <is>
          <t>Originator/beneficiary data collection form; threshold logic (≥ configured amount or BTC/ETH); POST /deposit/submit_travel_rule_details to Hex Safe; Notabene / Sygna adapter interface; data retention</t>
        </is>
      </c>
      <c r="E22" s="36" t="inlineStr">
        <is>
          <t>Senior Dev</t>
        </is>
      </c>
      <c r="F22" s="54" t="n">
        <v>35</v>
      </c>
      <c r="G22" s="55" t="n">
        <v>160</v>
      </c>
      <c r="H22" s="55">
        <f>E22*F22</f>
        <v/>
      </c>
    </row>
    <row r="23" ht="40" customHeight="1">
      <c r="B23" s="46" t="inlineStr">
        <is>
          <t>11</t>
        </is>
      </c>
      <c r="C23" s="47" t="inlineStr">
        <is>
          <t>Compliance Officer Dashboard &amp; Case Management</t>
        </is>
      </c>
      <c r="D23" s="48" t="inlineStr">
        <is>
          <t>EDD / Blocked / Funds Dirty case queue; case detail view; Approve / Reject / Request Documents / Close actions; reviewer assignment; priority escalation; full case history</t>
        </is>
      </c>
      <c r="E23" s="39" t="inlineStr">
        <is>
          <t>Senior Dev</t>
        </is>
      </c>
      <c r="F23" s="49" t="n">
        <v>40</v>
      </c>
      <c r="G23" s="50" t="n">
        <v>160</v>
      </c>
      <c r="H23" s="50">
        <f>E23*F23</f>
        <v/>
      </c>
    </row>
    <row r="24" ht="40" customHeight="1">
      <c r="B24" s="51" t="inlineStr">
        <is>
          <t>12</t>
        </is>
      </c>
      <c r="C24" s="52" t="inlineStr">
        <is>
          <t>Operations Dashboard</t>
        </is>
      </c>
      <c r="D24" s="53" t="inlineStr">
        <is>
          <t>Deposit queue with status/risk/date filters; deposit detail view; search and pagination; CSV export; exception highlights; role-based column visibility</t>
        </is>
      </c>
      <c r="E24" s="36" t="inlineStr">
        <is>
          <t>Senior Dev</t>
        </is>
      </c>
      <c r="F24" s="54" t="n">
        <v>30</v>
      </c>
      <c r="G24" s="55" t="n">
        <v>160</v>
      </c>
      <c r="H24" s="55">
        <f>E24*F24</f>
        <v/>
      </c>
    </row>
    <row r="25" ht="40" customHeight="1">
      <c r="B25" s="46" t="inlineStr">
        <is>
          <t>13</t>
        </is>
      </c>
      <c r="C25" s="47" t="inlineStr">
        <is>
          <t>Audit Log &amp; Compliance Reporting</t>
        </is>
      </c>
      <c r="D25" s="48" t="inlineStr">
        <is>
          <t>Immutable audit trail (actor, action, entityType, timestamp, IP, deviceId); audit log query API; compliance reports for deposits, cases, Travel Rule submissions, transactions; PDF/CSV export</t>
        </is>
      </c>
      <c r="E25" s="39" t="inlineStr">
        <is>
          <t>Senior Dev</t>
        </is>
      </c>
      <c r="F25" s="49" t="n">
        <v>35</v>
      </c>
      <c r="G25" s="50" t="n">
        <v>160</v>
      </c>
      <c r="H25" s="50">
        <f>E25*F25</f>
        <v/>
      </c>
    </row>
    <row r="26" ht="18" customHeight="1">
      <c r="B26" s="62" t="inlineStr">
        <is>
          <t>Phase Subtotal — P2</t>
        </is>
      </c>
      <c r="C26" s="63" t="n"/>
      <c r="D26" s="63" t="n"/>
      <c r="E26" s="63" t="n"/>
      <c r="F26" s="64" t="n"/>
      <c r="G26" s="65" t="n"/>
      <c r="H26" s="66">
        <f>SUM(H21:H25)</f>
        <v/>
      </c>
    </row>
    <row r="27" ht="6" customHeight="1"/>
    <row r="28" ht="20" customHeight="1">
      <c r="B28" s="67" t="inlineStr">
        <is>
          <t>Phase 3 · Refund / Payout &amp; Treasury Module</t>
        </is>
      </c>
    </row>
    <row r="29" ht="40" customHeight="1">
      <c r="B29" s="46" t="inlineStr">
        <is>
          <t>14</t>
        </is>
      </c>
      <c r="C29" s="47" t="inlineStr">
        <is>
          <t>Refund / Payout Pad Flow</t>
        </is>
      </c>
      <c r="D29" s="48" t="inlineStr">
        <is>
          <t>Host/Finance initiates payout; patron selection; destination wallet pre-withdrawal KYT screening; Compliance Officer approval gate; submission to Hex Safe; real-time status tracking</t>
        </is>
      </c>
      <c r="E29" s="39" t="inlineStr">
        <is>
          <t>Senior Dev</t>
        </is>
      </c>
      <c r="F29" s="49" t="n">
        <v>40</v>
      </c>
      <c r="G29" s="50" t="n">
        <v>160</v>
      </c>
      <c r="H29" s="50">
        <f>E29*F29</f>
        <v/>
      </c>
    </row>
    <row r="30" ht="40" customHeight="1">
      <c r="B30" s="51" t="inlineStr">
        <is>
          <t>15</t>
        </is>
      </c>
      <c r="C30" s="52" t="inlineStr">
        <is>
          <t>Hex Safe Withdrawal API Integration</t>
        </is>
      </c>
      <c r="D30" s="53" t="inlineStr">
        <is>
          <t>POST /transactions/withdrawal with x-request-id idempotency; whitelist pre-check via GET /vaults/{id}/whitelist; multi-party approval polling; txHash broadcast confirmation</t>
        </is>
      </c>
      <c r="E30" s="36" t="inlineStr">
        <is>
          <t>Senior Dev</t>
        </is>
      </c>
      <c r="F30" s="54" t="n">
        <v>30</v>
      </c>
      <c r="G30" s="55" t="n">
        <v>160</v>
      </c>
      <c r="H30" s="55">
        <f>E30*F30</f>
        <v/>
      </c>
    </row>
    <row r="31" ht="40" customHeight="1">
      <c r="B31" s="46" t="inlineStr">
        <is>
          <t>16</t>
        </is>
      </c>
      <c r="C31" s="47" t="inlineStr">
        <is>
          <t>Counterparty Book &amp; Whitelist Management</t>
        </is>
      </c>
      <c r="D31" s="48" t="inlineStr">
        <is>
          <t>GET/POST /counterparty; POST /counterparty/address/verify; operator UI for whitelist add/archive; whitelist validation on every outgoing transfer</t>
        </is>
      </c>
      <c r="E31" s="39" t="inlineStr">
        <is>
          <t>Senior Dev</t>
        </is>
      </c>
      <c r="F31" s="49" t="n">
        <v>20</v>
      </c>
      <c r="G31" s="50" t="n">
        <v>160</v>
      </c>
      <c r="H31" s="50">
        <f>E31*F31</f>
        <v/>
      </c>
    </row>
    <row r="32" ht="40" customHeight="1">
      <c r="B32" s="51" t="inlineStr">
        <is>
          <t>17</t>
        </is>
      </c>
      <c r="C32" s="52" t="inlineStr">
        <is>
          <t>Treasury / WTA Dashboard</t>
        </is>
      </c>
      <c r="D32" s="53" t="inlineStr">
        <is>
          <t>WTA vault balance from GET /vaults/{id}; pending settlement tracking; settled deposit history; cross-vault totals; Finance reconciliation view</t>
        </is>
      </c>
      <c r="E32" s="36" t="inlineStr">
        <is>
          <t>Senior Dev</t>
        </is>
      </c>
      <c r="F32" s="54" t="n">
        <v>35</v>
      </c>
      <c r="G32" s="55" t="n">
        <v>160</v>
      </c>
      <c r="H32" s="55">
        <f>E32*F32</f>
        <v/>
      </c>
    </row>
    <row r="33" ht="18" customHeight="1">
      <c r="B33" s="68" t="inlineStr">
        <is>
          <t>Phase Subtotal — P3</t>
        </is>
      </c>
      <c r="C33" s="69" t="n"/>
      <c r="D33" s="69" t="n"/>
      <c r="E33" s="69" t="n"/>
      <c r="F33" s="70" t="n"/>
      <c r="G33" s="71" t="n"/>
      <c r="H33" s="72">
        <f>SUM(H29:H32)</f>
        <v/>
      </c>
    </row>
    <row r="34" ht="6" customHeight="1"/>
    <row r="35" ht="20" customHeight="1">
      <c r="B35" s="73" t="inlineStr">
        <is>
          <t>Phase 4 · Auth, Security &amp; Okta Integration</t>
        </is>
      </c>
    </row>
    <row r="36" ht="40" customHeight="1">
      <c r="B36" s="46" t="inlineStr">
        <is>
          <t>18</t>
        </is>
      </c>
      <c r="C36" s="47" t="inlineStr">
        <is>
          <t>Okta OIDC Integration</t>
        </is>
      </c>
      <c r="D36" s="48" t="inlineStr">
        <is>
          <t>Authorization Code Flow with PKCE; Okta-hosted login redirect; ID/access token validation; Okta Groups → app role mapping; business session creation; logout and token revocation</t>
        </is>
      </c>
      <c r="E36" s="39" t="inlineStr">
        <is>
          <t>Tech Lead</t>
        </is>
      </c>
      <c r="F36" s="49" t="n">
        <v>25</v>
      </c>
      <c r="G36" s="50" t="n">
        <v>200</v>
      </c>
      <c r="H36" s="50">
        <f>E36*F36</f>
        <v/>
      </c>
    </row>
    <row r="37" ht="40" customHeight="1">
      <c r="B37" s="51" t="inlineStr">
        <is>
          <t>19</t>
        </is>
      </c>
      <c r="C37" s="52" t="inlineStr">
        <is>
          <t>MFA &amp; Step-Up Authentication</t>
        </is>
      </c>
      <c r="D37" s="53" t="inlineStr">
        <is>
          <t>Okta Verify Push / Passkey (WebAuthn/FIDO2) as primary MFA; step-up auth trigger for high-risk actions (address issuance, EDD approval, payout submission); push fatigue mitigation</t>
        </is>
      </c>
      <c r="E37" s="36" t="inlineStr">
        <is>
          <t>Tech Lead</t>
        </is>
      </c>
      <c r="F37" s="54" t="n">
        <v>20</v>
      </c>
      <c r="G37" s="55" t="n">
        <v>200</v>
      </c>
      <c r="H37" s="55">
        <f>E37*F37</f>
        <v/>
      </c>
    </row>
    <row r="38" ht="40" customHeight="1">
      <c r="B38" s="46" t="inlineStr">
        <is>
          <t>20</t>
        </is>
      </c>
      <c r="C38" s="47" t="inlineStr">
        <is>
          <t>Role-Based Access Control (RBAC)</t>
        </is>
      </c>
      <c r="D38" s="48" t="inlineStr">
        <is>
          <t>Host / Compliance Officer / Treasury / Admin permission matrix; API-layer authorization middleware; UI conditional rendering; admin role management screen</t>
        </is>
      </c>
      <c r="E38" s="39" t="inlineStr">
        <is>
          <t>Senior Dev</t>
        </is>
      </c>
      <c r="F38" s="49" t="n">
        <v>20</v>
      </c>
      <c r="G38" s="50" t="n">
        <v>160</v>
      </c>
      <c r="H38" s="50">
        <f>E38*F38</f>
        <v/>
      </c>
    </row>
    <row r="39" ht="40" customHeight="1">
      <c r="B39" s="51" t="inlineStr">
        <is>
          <t>21</t>
        </is>
      </c>
      <c r="C39" s="52" t="inlineStr">
        <is>
          <t>Security Hardening &amp; Provider Key Management</t>
        </is>
      </c>
      <c r="D39" s="53" t="inlineStr">
        <is>
          <t>Hex Safe API key + EC private key secure storage; KYT/Travel Rule API key rotation mechanism; rate limiting; webhook signature verification; OWASP Top 10 review checklist</t>
        </is>
      </c>
      <c r="E39" s="36" t="inlineStr">
        <is>
          <t>Tech Lead</t>
        </is>
      </c>
      <c r="F39" s="54" t="n">
        <v>20</v>
      </c>
      <c r="G39" s="55" t="n">
        <v>200</v>
      </c>
      <c r="H39" s="55">
        <f>E39*F39</f>
        <v/>
      </c>
    </row>
    <row r="40" ht="18" customHeight="1">
      <c r="B40" s="74" t="inlineStr">
        <is>
          <t>Phase Subtotal — P4</t>
        </is>
      </c>
      <c r="C40" s="75" t="n"/>
      <c r="D40" s="75" t="n"/>
      <c r="E40" s="75" t="n"/>
      <c r="F40" s="76" t="n"/>
      <c r="G40" s="77" t="n"/>
      <c r="H40" s="78">
        <f>SUM(H36:H39)</f>
        <v/>
      </c>
    </row>
    <row r="41" ht="6" customHeight="1"/>
    <row r="42" ht="20" customHeight="1">
      <c r="B42" s="79" t="inlineStr">
        <is>
          <t>Phase 5 · Testing, QA, DevOps &amp; Documentation</t>
        </is>
      </c>
    </row>
    <row r="43" ht="40" customHeight="1">
      <c r="B43" s="46" t="inlineStr">
        <is>
          <t>22</t>
        </is>
      </c>
      <c r="C43" s="47" t="inlineStr">
        <is>
          <t>Integration &amp; End-to-End Testing</t>
        </is>
      </c>
      <c r="D43" s="48" t="inlineStr">
        <is>
          <t>Jest + React Testing Library for UI components; API integration tests for all provider adapters (Hex Safe, KYT, Travel Rule, Okta); deposit state machine unit tests; Zod schema tests; edge case coverage</t>
        </is>
      </c>
      <c r="E43" s="39" t="inlineStr">
        <is>
          <t>QA</t>
        </is>
      </c>
      <c r="F43" s="49" t="n">
        <v>50</v>
      </c>
      <c r="G43" s="50" t="n">
        <v>90</v>
      </c>
      <c r="H43" s="50">
        <f>E43*F43</f>
        <v/>
      </c>
    </row>
    <row r="44" ht="40" customHeight="1">
      <c r="B44" s="51" t="inlineStr">
        <is>
          <t>23</t>
        </is>
      </c>
      <c r="C44" s="52" t="inlineStr">
        <is>
          <t>UAT Support &amp; Bug Fixing</t>
        </is>
      </c>
      <c r="D44" s="53" t="inlineStr">
        <is>
          <t>2-round client UAT session support; bug triage and resolution sprints; regression testing; final acceptance sign-off documentation</t>
        </is>
      </c>
      <c r="E44" s="36" t="inlineStr">
        <is>
          <t>QA</t>
        </is>
      </c>
      <c r="F44" s="54" t="n">
        <v>30</v>
      </c>
      <c r="G44" s="55" t="n">
        <v>90</v>
      </c>
      <c r="H44" s="55">
        <f>E44*F44</f>
        <v/>
      </c>
    </row>
    <row r="45" ht="40" customHeight="1">
      <c r="B45" s="46" t="inlineStr">
        <is>
          <t>24</t>
        </is>
      </c>
      <c r="C45" s="47" t="inlineStr">
        <is>
          <t>DevOps &amp; Production Deployment</t>
        </is>
      </c>
      <c r="D45" s="48" t="inlineStr">
        <is>
          <t>Docker containerization; staging + production environment provisioning; GitHub Actions CI/CD pipeline; database migration pipeline; uptime monitoring and error alerting setup</t>
        </is>
      </c>
      <c r="E45" s="39" t="inlineStr">
        <is>
          <t>DevOps</t>
        </is>
      </c>
      <c r="F45" s="49" t="n">
        <v>30</v>
      </c>
      <c r="G45" s="50" t="n">
        <v>150</v>
      </c>
      <c r="H45" s="50">
        <f>E45*F45</f>
        <v/>
      </c>
    </row>
    <row r="46" ht="40" customHeight="1">
      <c r="B46" s="51" t="inlineStr">
        <is>
          <t>25</t>
        </is>
      </c>
      <c r="C46" s="52" t="inlineStr">
        <is>
          <t>Technical Documentation</t>
        </is>
      </c>
      <c r="D46" s="53" t="inlineStr">
        <is>
          <t>API reference; provider adapter integration guide; Hex Safe authentication setup guide; deployment runbook; operator user guide; architecture decision records (ADRs)</t>
        </is>
      </c>
      <c r="E46" s="36" t="inlineStr">
        <is>
          <t>PM</t>
        </is>
      </c>
      <c r="F46" s="54" t="n">
        <v>20</v>
      </c>
      <c r="G46" s="55" t="n">
        <v>130</v>
      </c>
      <c r="H46" s="55">
        <f>E46*F46</f>
        <v/>
      </c>
    </row>
    <row r="47" ht="40" customHeight="1">
      <c r="B47" s="46" t="inlineStr">
        <is>
          <t>26</t>
        </is>
      </c>
      <c r="C47" s="47" t="inlineStr">
        <is>
          <t>Project Management</t>
        </is>
      </c>
      <c r="D47" s="48" t="inlineStr">
        <is>
          <t>Sprint planning and backlog management; weekly status reports to stakeholders; risk and dependency tracking; 8-week estimated delivery timeline coordination</t>
        </is>
      </c>
      <c r="E47" s="39" t="inlineStr">
        <is>
          <t>PM</t>
        </is>
      </c>
      <c r="F47" s="49" t="n">
        <v>30</v>
      </c>
      <c r="G47" s="50" t="n">
        <v>130</v>
      </c>
      <c r="H47" s="50">
        <f>E47*F47</f>
        <v/>
      </c>
    </row>
    <row r="48" ht="18" customHeight="1">
      <c r="B48" s="80" t="inlineStr">
        <is>
          <t>Phase Subtotal — P5</t>
        </is>
      </c>
      <c r="C48" s="81" t="n"/>
      <c r="D48" s="81" t="n"/>
      <c r="E48" s="81" t="n"/>
      <c r="F48" s="82" t="n"/>
      <c r="G48" s="83" t="n"/>
      <c r="H48" s="84">
        <f>SUM(H43:H47)</f>
        <v/>
      </c>
    </row>
    <row r="49" ht="6" customHeight="1"/>
    <row r="50" ht="26" customHeight="1">
      <c r="B50" s="85" t="inlineStr">
        <is>
          <t>TOTAL ENGAGEMENT COST</t>
        </is>
      </c>
      <c r="C50" s="86" t="n"/>
      <c r="D50" s="86" t="n"/>
      <c r="E50" s="86" t="n"/>
      <c r="F50" s="86" t="n"/>
      <c r="G50" s="86" t="n"/>
      <c r="H50" s="87" t="n">
        <v>130600</v>
      </c>
    </row>
    <row r="52" ht="14" customHeight="1">
      <c r="B52" s="88" t="inlineStr">
        <is>
          <t>* All amounts in USD. Prices are fixed-fee per phase.</t>
        </is>
      </c>
    </row>
    <row r="53" ht="14" customHeight="1">
      <c r="B53" s="88" t="inlineStr">
        <is>
          <t>* Third-party API subscription costs (Hex Safe, KYT provider, Okta) are excluded and client-procured.</t>
        </is>
      </c>
    </row>
    <row r="54" ht="14" customHeight="1">
      <c r="B54" s="88" t="inlineStr">
        <is>
          <t>* Payment schedule on 'Payment Milestones' sheet.</t>
        </is>
      </c>
    </row>
    <row r="55" ht="14" customHeight="1">
      <c r="B55" s="88" t="inlineStr">
        <is>
          <t>* Valid until 18 Jun 2026. Subject to re-quote if project start is delayed beyond this date.</t>
        </is>
      </c>
    </row>
  </sheetData>
  <mergeCells count="20">
    <mergeCell ref="B9:H9"/>
    <mergeCell ref="B55:H55"/>
    <mergeCell ref="B6:H6"/>
    <mergeCell ref="B5:H5"/>
    <mergeCell ref="B20:H20"/>
    <mergeCell ref="B18:F18"/>
    <mergeCell ref="B48:F48"/>
    <mergeCell ref="B35:H35"/>
    <mergeCell ref="B4:H4"/>
    <mergeCell ref="B54:H54"/>
    <mergeCell ref="B3:H3"/>
    <mergeCell ref="B52:H52"/>
    <mergeCell ref="B50:G50"/>
    <mergeCell ref="B2:H2"/>
    <mergeCell ref="B42:H42"/>
    <mergeCell ref="B40:F40"/>
    <mergeCell ref="B33:F33"/>
    <mergeCell ref="B53:H53"/>
    <mergeCell ref="B26:F26"/>
    <mergeCell ref="B28:H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5" customWidth="1" min="3" max="3"/>
    <col width="40" customWidth="1" min="4" max="4"/>
    <col width="12" customWidth="1" min="5" max="5"/>
    <col width="14" customWidth="1" min="6" max="6"/>
    <col width="3" customWidth="1" min="7" max="7"/>
  </cols>
  <sheetData>
    <row r="1" ht="6" customHeight="1"/>
    <row r="2" ht="14" customHeight="1">
      <c r="B2" s="1" t="n"/>
    </row>
    <row r="3" ht="20" customHeight="1">
      <c r="B3" s="43" t="inlineStr">
        <is>
          <t>PAYMENT MILESTONES</t>
        </is>
      </c>
    </row>
    <row r="4" ht="14" customHeight="1">
      <c r="B4" s="5" t="inlineStr">
        <is>
          <t>Virtual Asset Management Platform  ·  Wynn Macau</t>
        </is>
      </c>
    </row>
    <row r="5" ht="14" customHeight="1">
      <c r="B5" s="1" t="n"/>
    </row>
    <row r="6" ht="14" customHeight="1">
      <c r="B6" s="89" t="inlineStr">
        <is>
          <t>Total: USD 130,600   ·   4 equal milestone payments</t>
        </is>
      </c>
    </row>
    <row r="7" ht="8" customHeight="1"/>
    <row r="8" ht="20" customHeight="1">
      <c r="B8" s="7" t="inlineStr">
        <is>
          <t>Milestone</t>
        </is>
      </c>
      <c r="C8" s="7" t="inlineStr">
        <is>
          <t>Description</t>
        </is>
      </c>
      <c r="D8" s="7" t="inlineStr">
        <is>
          <t>Deliverables / Acceptance Criteria</t>
        </is>
      </c>
      <c r="E8" s="90" t="inlineStr">
        <is>
          <t>Target</t>
        </is>
      </c>
      <c r="F8" s="90" t="inlineStr">
        <is>
          <t>Amount (USD)</t>
        </is>
      </c>
    </row>
    <row r="9" ht="50" customHeight="1">
      <c r="B9" s="91" t="inlineStr">
        <is>
          <t>M1</t>
        </is>
      </c>
      <c r="C9" s="92" t="inlineStr">
        <is>
          <t>Contract Signed &amp; Kickoff</t>
        </is>
      </c>
      <c r="D9" s="93" t="inlineStr">
        <is>
          <t>Project kickoff, architecture sign-off, dev environment ready</t>
        </is>
      </c>
      <c r="E9" s="94" t="inlineStr">
        <is>
          <t>Week 0</t>
        </is>
      </c>
      <c r="F9" s="95" t="n">
        <v>32650</v>
      </c>
    </row>
    <row r="10" ht="4" customHeight="1"/>
    <row r="11" ht="50" customHeight="1">
      <c r="B11" s="96" t="inlineStr">
        <is>
          <t>M2</t>
        </is>
      </c>
      <c r="C11" s="97" t="inlineStr">
        <is>
          <t>Phase 1 Complete — Core Deposit MVP</t>
        </is>
      </c>
      <c r="D11" s="98" t="inlineStr">
        <is>
          <t>Working deposit flow with Hex Safe address generation, KYT, Travel Rule, on-chain monitoring</t>
        </is>
      </c>
      <c r="E11" s="99" t="inlineStr">
        <is>
          <t>Week 3</t>
        </is>
      </c>
      <c r="F11" s="100" t="n">
        <v>32650</v>
      </c>
    </row>
    <row r="12" ht="4" customHeight="1"/>
    <row r="13" ht="50" customHeight="1">
      <c r="B13" s="101" t="inlineStr">
        <is>
          <t>M3</t>
        </is>
      </c>
      <c r="C13" s="102" t="inlineStr">
        <is>
          <t>Phase 2 &amp; 3 Complete — Compliance &amp; Payout</t>
        </is>
      </c>
      <c r="D13" s="103" t="inlineStr">
        <is>
          <t>Compliance dashboard, KYC module, audit trail, refund/payout flow, Treasury WTA view</t>
        </is>
      </c>
      <c r="E13" s="104" t="inlineStr">
        <is>
          <t>Week 6</t>
        </is>
      </c>
      <c r="F13" s="105" t="n">
        <v>32650</v>
      </c>
    </row>
    <row r="14" ht="4" customHeight="1"/>
    <row r="15" ht="50" customHeight="1">
      <c r="B15" s="106" t="inlineStr">
        <is>
          <t>M4</t>
        </is>
      </c>
      <c r="C15" s="107" t="inlineStr">
        <is>
          <t>Phase 4 &amp; 5 Complete — Auth, Testing &amp; Go-Live</t>
        </is>
      </c>
      <c r="D15" s="108" t="inlineStr">
        <is>
          <t>Okta SSO, RBAC, security review, full QA, UAT sign-off, production deployment</t>
        </is>
      </c>
      <c r="E15" s="109" t="inlineStr">
        <is>
          <t>Week 8</t>
        </is>
      </c>
      <c r="F15" s="110" t="n">
        <v>32650</v>
      </c>
    </row>
    <row r="16" ht="4" customHeight="1"/>
    <row r="17" ht="22" customHeight="1">
      <c r="B17" s="85" t="inlineStr">
        <is>
          <t>TOTAL</t>
        </is>
      </c>
      <c r="C17" s="86" t="n"/>
      <c r="D17" s="86" t="n"/>
      <c r="E17" s="86" t="n"/>
      <c r="F17" s="32" t="n">
        <v>130600</v>
      </c>
    </row>
    <row r="19" ht="16" customHeight="1">
      <c r="B19" s="111" t="inlineStr">
        <is>
          <t>PAYMENT TERMS</t>
        </is>
      </c>
    </row>
    <row r="20" ht="14" customHeight="1">
      <c r="B20" s="112" t="inlineStr">
        <is>
          <t>• Invoice issued upon achievement of each milestone, payable within 14 calendar days.</t>
        </is>
      </c>
    </row>
    <row r="21" ht="14" customHeight="1">
      <c r="B21" s="112" t="inlineStr">
        <is>
          <t>• All payments in USD by wire transfer or equivalent. Bank details provided upon contract signing.</t>
        </is>
      </c>
    </row>
    <row r="22" ht="14" customHeight="1">
      <c r="B22" s="112" t="inlineStr">
        <is>
          <t>• Late payments accrue interest at 1.5% per month after the due date.</t>
        </is>
      </c>
    </row>
    <row r="23" ht="14" customHeight="1">
      <c r="B23" s="112" t="inlineStr">
        <is>
          <t>• Milestone completion requires written acceptance from client's designated product owner.</t>
        </is>
      </c>
    </row>
    <row r="24" ht="14" customHeight="1">
      <c r="B24" s="112" t="inlineStr">
        <is>
          <t>• Should project be paused or cancelled, payment is due for all work completed to date.</t>
        </is>
      </c>
    </row>
  </sheetData>
  <mergeCells count="12">
    <mergeCell ref="B4:F4"/>
    <mergeCell ref="B21:F21"/>
    <mergeCell ref="B17:E17"/>
    <mergeCell ref="B6:F6"/>
    <mergeCell ref="B24:F24"/>
    <mergeCell ref="B2:F2"/>
    <mergeCell ref="B20:F20"/>
    <mergeCell ref="B3:F3"/>
    <mergeCell ref="B5:F5"/>
    <mergeCell ref="B19:F19"/>
    <mergeCell ref="B23:F23"/>
    <mergeCell ref="B22:F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55" customWidth="1" min="3" max="3"/>
    <col width="3" customWidth="1" min="4" max="4"/>
  </cols>
  <sheetData>
    <row r="1" ht="6" customHeight="1"/>
    <row r="2" ht="14" customHeight="1">
      <c r="B2" s="1" t="n"/>
    </row>
    <row r="3" ht="20" customHeight="1">
      <c r="B3" s="113" t="inlineStr">
        <is>
          <t>SCOPE NOTES — INCLUSIONS, EXCLUSIONS &amp; ASSUMPTIONS</t>
        </is>
      </c>
    </row>
    <row r="4" ht="14" customHeight="1">
      <c r="B4" s="5" t="inlineStr">
        <is>
          <t>Virtual Asset Management Platform  ·  Wynn Macau</t>
        </is>
      </c>
    </row>
    <row r="5" ht="14" customHeight="1">
      <c r="B5" s="1" t="n"/>
    </row>
    <row r="6" ht="14" customHeight="1">
      <c r="B6" s="1" t="n"/>
    </row>
    <row r="7" ht="8" customHeight="1"/>
    <row r="8" ht="20" customHeight="1">
      <c r="B8" s="114" t="inlineStr">
        <is>
          <t>INCLUSIONS — What is covered in this quote</t>
        </is>
      </c>
    </row>
    <row r="9" ht="16" customHeight="1">
      <c r="B9" s="115" t="inlineStr">
        <is>
          <t xml:space="preserve">  ✓  All frontend (Next.js) and backend (Node.js/TypeScript) development</t>
        </is>
      </c>
    </row>
    <row r="10" ht="16" customHeight="1">
      <c r="B10" s="98" t="inlineStr">
        <is>
          <t xml:space="preserve">  ✓  Hex Safe REST API adapter (full endpoint mapping per documentation)</t>
        </is>
      </c>
    </row>
    <row r="11" ht="16" customHeight="1">
      <c r="B11" s="115" t="inlineStr">
        <is>
          <t xml:space="preserve">  ✓  KYT provider adapter (Chainalysis / TRM / Elliptic — client selects vendor)</t>
        </is>
      </c>
    </row>
    <row r="12" ht="16" customHeight="1">
      <c r="B12" s="98" t="inlineStr">
        <is>
          <t xml:space="preserve">  ✓  FATF Travel Rule adapter (Hex Safe native or Notabene / Sygna — client selects)</t>
        </is>
      </c>
    </row>
    <row r="13" ht="16" customHeight="1">
      <c r="B13" s="115" t="inlineStr">
        <is>
          <t xml:space="preserve">  ✓  Okta OIDC + MFA integration (client provides Okta tenant)</t>
        </is>
      </c>
    </row>
    <row r="14" ht="16" customHeight="1">
      <c r="B14" s="98" t="inlineStr">
        <is>
          <t xml:space="preserve">  ✓  PostgreSQL data model &amp; migration scripts</t>
        </is>
      </c>
    </row>
    <row r="15" ht="16" customHeight="1">
      <c r="B15" s="115" t="inlineStr">
        <is>
          <t xml:space="preserve">  ✓  CI/CD pipeline and staging/production deployment</t>
        </is>
      </c>
    </row>
    <row r="16" ht="16" customHeight="1">
      <c r="B16" s="98" t="inlineStr">
        <is>
          <t xml:space="preserve">  ✓  Integration tests and UAT support (2 rounds)</t>
        </is>
      </c>
    </row>
    <row r="17" ht="16" customHeight="1">
      <c r="B17" s="115" t="inlineStr">
        <is>
          <t xml:space="preserve">  ✓  Technical documentation and operator guide</t>
        </is>
      </c>
    </row>
    <row r="18" ht="8" customHeight="1"/>
    <row r="19" ht="20" customHeight="1">
      <c r="B19" s="116" t="inlineStr">
        <is>
          <t>EXCLUSIONS — Not included in this quote</t>
        </is>
      </c>
    </row>
    <row r="20" ht="16" customHeight="1">
      <c r="B20" s="117" t="inlineStr">
        <is>
          <t xml:space="preserve">  ✗  Hex Safe, KYT provider, or Travel Rule provider subscription fees (client-procured)</t>
        </is>
      </c>
    </row>
    <row r="21" ht="16" customHeight="1">
      <c r="B21" s="115" t="inlineStr">
        <is>
          <t xml:space="preserve">  ✗  Okta tenant license and configuration (client-procured)</t>
        </is>
      </c>
    </row>
    <row r="22" ht="16" customHeight="1">
      <c r="B22" s="117" t="inlineStr">
        <is>
          <t xml:space="preserve">  ✗  Prime Broker / conversion flow (separate engagement)</t>
        </is>
      </c>
    </row>
    <row r="23" ht="16" customHeight="1">
      <c r="B23" s="115" t="inlineStr">
        <is>
          <t xml:space="preserve">  ✗  STR / SAR / HKFIO regulatory reporting integration</t>
        </is>
      </c>
    </row>
    <row r="24" ht="16" customHeight="1">
      <c r="B24" s="117" t="inlineStr">
        <is>
          <t xml:space="preserve">  ✗  Mobile approver app for Hex Safe multi-party approval</t>
        </is>
      </c>
    </row>
    <row r="25" ht="16" customHeight="1">
      <c r="B25" s="115" t="inlineStr">
        <is>
          <t xml:space="preserve">  ✗  Data migration from legacy systems</t>
        </is>
      </c>
    </row>
    <row r="26" ht="16" customHeight="1">
      <c r="B26" s="117" t="inlineStr">
        <is>
          <t xml:space="preserve">  ✗  Ongoing support and maintenance (available as separate retainer)</t>
        </is>
      </c>
    </row>
    <row r="27" ht="16" customHeight="1">
      <c r="B27" s="115" t="inlineStr">
        <is>
          <t xml:space="preserve">  ✗  Third-party penetration testing (recommended, client-procured separately)</t>
        </is>
      </c>
    </row>
    <row r="28" ht="8" customHeight="1"/>
    <row r="29" ht="20" customHeight="1">
      <c r="B29" s="118" t="inlineStr">
        <is>
          <t>ASSUMPTIONS &amp; DEPENDENCIES</t>
        </is>
      </c>
    </row>
    <row r="30" ht="16" customHeight="1">
      <c r="B30" s="93" t="inlineStr">
        <is>
          <t xml:space="preserve">  ·  Client provides Hex Safe API credentials, KYT provider API keys, and Okta tenant within 1 week of contract signing</t>
        </is>
      </c>
    </row>
    <row r="31" ht="16" customHeight="1">
      <c r="B31" s="115" t="inlineStr">
        <is>
          <t xml:space="preserve">  ·  Sandbox / testnet environments available for all third-party providers</t>
        </is>
      </c>
    </row>
    <row r="32" ht="16" customHeight="1">
      <c r="B32" s="93" t="inlineStr">
        <is>
          <t xml:space="preserve">  ·  Client designates a product owner available ≥4 hours/week for sprint reviews and decisions</t>
        </is>
      </c>
    </row>
    <row r="33" ht="16" customHeight="1">
      <c r="B33" s="115" t="inlineStr">
        <is>
          <t xml:space="preserve">  ·  Design system / UI style guide provided by client within 1 week of kickoff (or approved use of existing demo style)</t>
        </is>
      </c>
    </row>
    <row r="34" ht="16" customHeight="1">
      <c r="B34" s="93" t="inlineStr">
        <is>
          <t xml:space="preserve">  ·  Server infrastructure (cloud provider) selected and billing set up by client prior to Phase 5</t>
        </is>
      </c>
    </row>
    <row r="35" ht="16" customHeight="1">
      <c r="B35" s="115" t="inlineStr">
        <is>
          <t xml:space="preserve">  ·  Change requests beyond agreed scope will be quoted separately at standard hourly rates</t>
        </is>
      </c>
    </row>
    <row r="36" ht="8" customHeight="1"/>
    <row r="38" ht="18" customHeight="1">
      <c r="B38" s="6" t="inlineStr">
        <is>
          <t>ACCEPTANCE</t>
        </is>
      </c>
    </row>
    <row r="39" ht="40" customHeight="1">
      <c r="B39" s="119" t="inlineStr">
        <is>
          <t>Prepared by: Development Partner
Signature: _____________________________   Date: ____________</t>
        </is>
      </c>
    </row>
    <row r="40" ht="6" customHeight="1"/>
    <row r="41" ht="40" customHeight="1">
      <c r="B41" s="119" t="inlineStr">
        <is>
          <t>Accepted by: Wynn Macau
Signature: _____________________________   Date: ____________</t>
        </is>
      </c>
    </row>
    <row r="42" ht="6" customHeight="1"/>
  </sheetData>
  <mergeCells count="34">
    <mergeCell ref="B11:D11"/>
    <mergeCell ref="B14:D14"/>
    <mergeCell ref="B23:D23"/>
    <mergeCell ref="B8:D8"/>
    <mergeCell ref="B17:D17"/>
    <mergeCell ref="B13:D13"/>
    <mergeCell ref="B29:D29"/>
    <mergeCell ref="B38:D38"/>
    <mergeCell ref="B34:D34"/>
    <mergeCell ref="B10:D10"/>
    <mergeCell ref="B19:D19"/>
    <mergeCell ref="B9:D9"/>
    <mergeCell ref="B30:D30"/>
    <mergeCell ref="B15:D15"/>
    <mergeCell ref="B6:D6"/>
    <mergeCell ref="B24:D24"/>
    <mergeCell ref="B20:D20"/>
    <mergeCell ref="B33:D33"/>
    <mergeCell ref="B5:D5"/>
    <mergeCell ref="B41:D41"/>
    <mergeCell ref="B32:D32"/>
    <mergeCell ref="B4:D4"/>
    <mergeCell ref="B35:D35"/>
    <mergeCell ref="B26:D26"/>
    <mergeCell ref="B25:D25"/>
    <mergeCell ref="B16:D16"/>
    <mergeCell ref="B3:D3"/>
    <mergeCell ref="B31:D31"/>
    <mergeCell ref="B22:D22"/>
    <mergeCell ref="B27:D27"/>
    <mergeCell ref="B21:D21"/>
    <mergeCell ref="B12:D12"/>
    <mergeCell ref="B39:D39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2026-05-19T14:27:38Z</dcterms:created>
  <dcterms:modified xmlns:dcterms="http://purl.org/dc/terms/" xmlns:xsi="http://www.w3.org/2001/XMLSchema-instance" xsi:type="dcterms:W3CDTF">2026-05-19T14:27:38Z</dcterms:modified>
</cp:coreProperties>
</file>